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New folder\assignment\"/>
    </mc:Choice>
  </mc:AlternateContent>
  <xr:revisionPtr revIDLastSave="0" documentId="13_ncr:1_{9EBD895D-1C3D-4590-969A-E1ED1620BD6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ssignmen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9" i="3" l="1"/>
  <c r="K21" i="3"/>
  <c r="J35" i="3" l="1"/>
  <c r="I35" i="3"/>
  <c r="H35" i="3"/>
  <c r="G35" i="3"/>
  <c r="J34" i="3"/>
  <c r="I34" i="3"/>
  <c r="H34" i="3"/>
  <c r="G34" i="3"/>
  <c r="J33" i="3"/>
  <c r="I33" i="3"/>
  <c r="H33" i="3"/>
  <c r="G33" i="3"/>
  <c r="J32" i="3"/>
  <c r="I32" i="3"/>
  <c r="H32" i="3"/>
  <c r="G32" i="3"/>
  <c r="J31" i="3"/>
  <c r="I31" i="3"/>
  <c r="H31" i="3"/>
  <c r="G31" i="3"/>
  <c r="J30" i="3"/>
  <c r="I30" i="3"/>
  <c r="H30" i="3"/>
  <c r="G30" i="3"/>
  <c r="J29" i="3"/>
  <c r="I29" i="3"/>
  <c r="H29" i="3"/>
  <c r="G29" i="3"/>
  <c r="J28" i="3"/>
  <c r="I28" i="3"/>
  <c r="H28" i="3"/>
  <c r="G28" i="3"/>
  <c r="J27" i="3"/>
  <c r="I27" i="3"/>
  <c r="H27" i="3"/>
  <c r="G27" i="3"/>
  <c r="J26" i="3"/>
  <c r="I26" i="3"/>
  <c r="H26" i="3"/>
  <c r="G26" i="3"/>
  <c r="J25" i="3"/>
  <c r="I25" i="3"/>
  <c r="H25" i="3"/>
  <c r="G25" i="3"/>
  <c r="J24" i="3"/>
  <c r="I24" i="3"/>
  <c r="H24" i="3"/>
  <c r="G24" i="3"/>
  <c r="J23" i="3"/>
  <c r="I23" i="3"/>
  <c r="H23" i="3"/>
  <c r="G23" i="3"/>
  <c r="J22" i="3"/>
  <c r="I22" i="3"/>
  <c r="H22" i="3"/>
  <c r="G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M8" i="3"/>
  <c r="J8" i="3"/>
  <c r="I8" i="3"/>
  <c r="H8" i="3"/>
  <c r="G8" i="3"/>
  <c r="M7" i="3"/>
  <c r="J7" i="3"/>
  <c r="I7" i="3"/>
  <c r="H7" i="3"/>
  <c r="G7" i="3"/>
  <c r="M6" i="3"/>
  <c r="J6" i="3"/>
  <c r="I6" i="3"/>
  <c r="H6" i="3"/>
  <c r="G6" i="3"/>
  <c r="M5" i="3"/>
  <c r="J5" i="3"/>
  <c r="I5" i="3"/>
  <c r="H5" i="3"/>
  <c r="G5" i="3"/>
  <c r="M4" i="3"/>
  <c r="J4" i="3"/>
  <c r="I4" i="3"/>
  <c r="H4" i="3"/>
  <c r="G4" i="3"/>
  <c r="J3" i="3"/>
  <c r="I3" i="3"/>
  <c r="H3" i="3"/>
  <c r="G3" i="3"/>
  <c r="J2" i="3"/>
  <c r="I2" i="3"/>
  <c r="H2" i="3"/>
  <c r="G2" i="3"/>
</calcChain>
</file>

<file path=xl/sharedStrings.xml><?xml version="1.0" encoding="utf-8"?>
<sst xmlns="http://schemas.openxmlformats.org/spreadsheetml/2006/main" count="314" uniqueCount="123">
  <si>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</si>
  <si>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</si>
  <si>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</si>
  <si>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</si>
  <si>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</si>
  <si>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</si>
  <si>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</si>
  <si>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</si>
  <si>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</si>
  <si>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</si>
  <si>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</si>
  <si>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</si>
  <si>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</si>
  <si>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</si>
  <si>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</si>
  <si>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</si>
  <si>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</si>
  <si>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</si>
  <si>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</si>
  <si>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</si>
  <si>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</si>
  <si>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</si>
  <si>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</si>
  <si>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</si>
  <si>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</si>
  <si>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</si>
  <si>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</si>
  <si>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</si>
  <si>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</si>
  <si>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</si>
  <si>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</si>
  <si>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</si>
  <si>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</si>
  <si>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</si>
  <si>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</si>
  <si>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</si>
  <si>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</si>
  <si>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</si>
  <si>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</si>
  <si>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</si>
  <si>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</si>
  <si>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</si>
  <si>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</si>
  <si>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</si>
  <si>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</si>
  <si>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</si>
  <si>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</si>
  <si>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</si>
  <si>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</si>
  <si>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</si>
  <si>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</si>
  <si>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</si>
  <si>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</si>
  <si>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</si>
  <si>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</si>
  <si>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</si>
  <si>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</si>
  <si>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</si>
  <si>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</si>
  <si>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</si>
  <si>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</si>
  <si>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</si>
  <si>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</si>
  <si>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</si>
  <si>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</si>
  <si>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</si>
  <si>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</si>
  <si>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</si>
  <si>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</si>
  <si>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</si>
  <si>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</si>
  <si>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</si>
  <si>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</si>
  <si>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</si>
  <si>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</si>
  <si>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</si>
  <si>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</si>
  <si>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</si>
  <si>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</si>
  <si>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</si>
  <si>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</si>
  <si>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</si>
  <si>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</si>
  <si>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</si>
  <si>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</si>
  <si>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</si>
  <si>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</si>
  <si>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</si>
  <si>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</si>
  <si>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</si>
  <si>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</si>
  <si>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</si>
  <si>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</si>
  <si>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</si>
  <si>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</si>
  <si>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</si>
  <si>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</si>
  <si>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</si>
  <si>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</si>
  <si>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</si>
  <si>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</si>
  <si>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</si>
  <si>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</si>
  <si>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</si>
  <si>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</si>
  <si>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</si>
  <si>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</si>
  <si>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</si>
  <si>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</si>
  <si>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</si>
  <si>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</si>
  <si>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</si>
  <si>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</si>
  <si>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</si>
  <si>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Paticulars</t>
  </si>
  <si>
    <t>Summary</t>
  </si>
  <si>
    <t xml:space="preserve">Total price of all product </t>
  </si>
  <si>
    <t>Averge</t>
  </si>
  <si>
    <t>minimum valuve</t>
  </si>
  <si>
    <t xml:space="preserve">maxmimum </t>
  </si>
  <si>
    <t xml:space="preserve">Electronics product total price is </t>
  </si>
  <si>
    <t>Count of product &lt;100 using count if function</t>
  </si>
  <si>
    <t>Total product in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</si>
</sst>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0"/>
      <color theme="4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3" borderId="0" xfId="0" applyFont="1" applyFill="1"/>
    <xf numFmtId="0" fontId="10" fillId="3" borderId="0" xfId="0" applyFont="1" applyFill="1"/>
    <xf numFmtId="0" fontId="11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3" borderId="0" xfId="0" applyFont="1" applyFill="1"/>
    <xf numFmtId="0" fontId="12" fillId="0" borderId="0" xfId="0" applyFont="1"/>
    <xf numFmtId="0" fontId="16" fillId="5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strike val="0"/>
        <outline val="0"/>
        <shadow val="0"/>
        <u val="none"/>
        <vertAlign val="baseline"/>
        <sz val="12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" displayName="Table1" ref="L3:M10" totalsRowShown="0">
  <autoFilter ref="L3:M10" xr:uid="{00000000-0009-0000-0100-000003000000}"/>
  <tableColumns count="2">
    <tableColumn id="1" xr3:uid="{00000000-0010-0000-0000-000001000000}" name="Paticulars" dataDxfId="1"/>
    <tableColumn id="2" xr3:uid="{00000000-0010-0000-0000-000002000000}" name="Summ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B22" sqref="B22"/>
    </sheetView>
  </sheetViews>
  <sheetFormatPr defaultColWidth="12.5546875" defaultRowHeight="15" customHeight="1" x14ac:dyDescent="0.25"/>
  <cols>
    <col min="1" max="1" width="12.5546875" customWidth="1"/>
    <col min="2" max="2" width="7.44140625" customWidth="1"/>
    <col min="3" max="6" width="12.554687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546875" defaultRowHeight="15" customHeight="1" x14ac:dyDescent="0.25"/>
  <cols>
    <col min="1" max="1" width="12.5546875" customWidth="1"/>
    <col min="2" max="2" width="14.109375" customWidth="1"/>
    <col min="3" max="6" width="12.554687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5"/>
  <sheetViews>
    <sheetView tabSelected="1" workbookViewId="0">
      <selection activeCell="I18" sqref="I18"/>
    </sheetView>
  </sheetViews>
  <sheetFormatPr defaultColWidth="9.109375" defaultRowHeight="13.2" x14ac:dyDescent="0.25"/>
  <cols>
    <col min="1" max="1" width="16.88671875" customWidth="1"/>
    <col min="2" max="2" width="14" bestFit="1" customWidth="1"/>
    <col min="3" max="3" width="12.33203125" bestFit="1" customWidth="1"/>
    <col min="4" max="5" width="11" customWidth="1"/>
    <col min="6" max="6" width="11.33203125" bestFit="1" customWidth="1"/>
    <col min="7" max="7" width="13.6640625" bestFit="1" customWidth="1"/>
    <col min="9" max="9" width="13.44140625" bestFit="1" customWidth="1"/>
    <col min="12" max="12" width="47.88671875" bestFit="1" customWidth="1"/>
    <col min="13" max="13" width="11.109375" bestFit="1" customWidth="1"/>
  </cols>
  <sheetData>
    <row r="1" spans="1:32" x14ac:dyDescent="0.25">
      <c r="A1" s="24" t="s">
        <v>17</v>
      </c>
      <c r="B1" s="24" t="s">
        <v>18</v>
      </c>
      <c r="C1" s="16" t="s">
        <v>19</v>
      </c>
      <c r="D1" s="16" t="s">
        <v>20</v>
      </c>
      <c r="E1" s="16" t="s">
        <v>21</v>
      </c>
      <c r="F1" s="16" t="s">
        <v>22</v>
      </c>
      <c r="G1" s="16" t="s">
        <v>110</v>
      </c>
      <c r="H1" s="16" t="s">
        <v>111</v>
      </c>
      <c r="I1" s="16" t="s">
        <v>112</v>
      </c>
      <c r="J1" s="16" t="s">
        <v>113</v>
      </c>
    </row>
    <row r="2" spans="1:32" x14ac:dyDescent="0.25">
      <c r="A2" s="12" t="s">
        <v>23</v>
      </c>
      <c r="B2" s="13" t="s">
        <v>24</v>
      </c>
      <c r="C2" s="12" t="s">
        <v>25</v>
      </c>
      <c r="D2" s="12">
        <v>1000</v>
      </c>
      <c r="E2" s="12">
        <v>30</v>
      </c>
      <c r="F2" s="12" t="s">
        <v>26</v>
      </c>
      <c r="G2" t="str">
        <f>IF(D2:D35&gt;500, "High price", "Standard price")</f>
        <v>High price</v>
      </c>
      <c r="H2" t="str">
        <f>LEFT(A2,2)</f>
        <v>28</v>
      </c>
      <c r="I2" t="str">
        <f>RIGHT(A2, 2)</f>
        <v>US</v>
      </c>
      <c r="J2" t="str">
        <f>MID(A2, 4, 3)</f>
        <v>JAN</v>
      </c>
    </row>
    <row r="3" spans="1:32" x14ac:dyDescent="0.25">
      <c r="A3" s="14" t="s">
        <v>27</v>
      </c>
      <c r="B3" s="14" t="s">
        <v>28</v>
      </c>
      <c r="C3" s="14" t="s">
        <v>29</v>
      </c>
      <c r="D3" s="12">
        <v>80</v>
      </c>
      <c r="E3" s="12">
        <v>15</v>
      </c>
      <c r="F3" s="12" t="s">
        <v>30</v>
      </c>
      <c r="G3" t="str">
        <f>IF(D3:D35&gt;500, "High price", "Standard price")</f>
        <v>Standard price</v>
      </c>
      <c r="H3" t="str">
        <f t="shared" ref="H3:H35" si="0">LEFT(A3,2)</f>
        <v>15</v>
      </c>
      <c r="I3" t="str">
        <f>RIGHT(A3, 2)</f>
        <v>US</v>
      </c>
      <c r="J3" t="str">
        <f t="shared" ref="J3:J35" si="1">MID(A3, 4, 3)</f>
        <v>FEB</v>
      </c>
      <c r="L3" s="10" t="s">
        <v>114</v>
      </c>
      <c r="M3" t="s">
        <v>115</v>
      </c>
    </row>
    <row r="4" spans="1:32" ht="15.6" x14ac:dyDescent="0.3">
      <c r="A4" s="12" t="s">
        <v>31</v>
      </c>
      <c r="B4" s="12" t="s">
        <v>32</v>
      </c>
      <c r="C4" s="12" t="s">
        <v>33</v>
      </c>
      <c r="D4" s="12">
        <v>130</v>
      </c>
      <c r="E4" s="12">
        <v>40</v>
      </c>
      <c r="F4" s="12" t="s">
        <v>34</v>
      </c>
      <c r="G4" t="str">
        <f t="shared" ref="G4:G35" si="2">IF(D4:D37&gt;500, "High price", "Standard price")</f>
        <v>Standard price</v>
      </c>
      <c r="H4" t="str">
        <f t="shared" si="0"/>
        <v>03</v>
      </c>
      <c r="I4" t="str">
        <f t="shared" ref="I4:I35" si="3">RIGHT(A4, 2)</f>
        <v>US</v>
      </c>
      <c r="J4" t="str">
        <f t="shared" si="1"/>
        <v>MAR</v>
      </c>
      <c r="L4" s="21" t="s">
        <v>116</v>
      </c>
      <c r="M4" s="11">
        <f>SUM(D2:D35)</f>
        <v>10100</v>
      </c>
      <c r="O4" s="23"/>
    </row>
    <row r="5" spans="1:32" ht="15.6" x14ac:dyDescent="0.3">
      <c r="A5" s="14" t="s">
        <v>35</v>
      </c>
      <c r="B5" s="14" t="s">
        <v>36</v>
      </c>
      <c r="C5" s="14" t="s">
        <v>37</v>
      </c>
      <c r="D5" s="12">
        <v>900</v>
      </c>
      <c r="E5" s="12">
        <v>25</v>
      </c>
      <c r="F5" s="12" t="s">
        <v>26</v>
      </c>
      <c r="G5" t="str">
        <f t="shared" si="2"/>
        <v>High price</v>
      </c>
      <c r="H5" t="str">
        <f t="shared" si="0"/>
        <v>11</v>
      </c>
      <c r="I5" t="str">
        <f t="shared" si="3"/>
        <v>US</v>
      </c>
      <c r="J5" t="str">
        <f t="shared" si="1"/>
        <v>APR</v>
      </c>
      <c r="L5" s="22" t="s">
        <v>117</v>
      </c>
      <c r="M5" s="11">
        <f>AVERAGE(D2:D35)</f>
        <v>297.05882352941177</v>
      </c>
    </row>
    <row r="6" spans="1:32" ht="15.6" x14ac:dyDescent="0.3">
      <c r="A6" s="12" t="s">
        <v>38</v>
      </c>
      <c r="B6" s="12" t="s">
        <v>39</v>
      </c>
      <c r="C6" s="12" t="s">
        <v>40</v>
      </c>
      <c r="D6" s="12">
        <v>70</v>
      </c>
      <c r="E6" s="12">
        <v>20</v>
      </c>
      <c r="F6" s="12" t="s">
        <v>41</v>
      </c>
      <c r="G6" t="str">
        <f t="shared" si="2"/>
        <v>Standard price</v>
      </c>
      <c r="H6" t="str">
        <f t="shared" si="0"/>
        <v>22</v>
      </c>
      <c r="I6" t="str">
        <f t="shared" si="3"/>
        <v>US</v>
      </c>
      <c r="J6" t="str">
        <f t="shared" si="1"/>
        <v>MAY</v>
      </c>
      <c r="L6" s="21" t="s">
        <v>118</v>
      </c>
      <c r="M6" s="11">
        <f>MIN(D2:D35)</f>
        <v>30</v>
      </c>
    </row>
    <row r="7" spans="1:32" ht="15.6" x14ac:dyDescent="0.3">
      <c r="A7" s="14" t="s">
        <v>42</v>
      </c>
      <c r="B7" s="14" t="s">
        <v>43</v>
      </c>
      <c r="C7" s="14" t="s">
        <v>44</v>
      </c>
      <c r="D7" s="12">
        <v>200</v>
      </c>
      <c r="E7" s="12">
        <v>45</v>
      </c>
      <c r="F7" s="12" t="s">
        <v>26</v>
      </c>
      <c r="G7" t="str">
        <f t="shared" si="2"/>
        <v>Standard price</v>
      </c>
      <c r="H7" t="str">
        <f t="shared" si="0"/>
        <v>07</v>
      </c>
      <c r="I7" t="str">
        <f t="shared" si="3"/>
        <v>UK</v>
      </c>
      <c r="J7" t="str">
        <f t="shared" si="1"/>
        <v>JUN</v>
      </c>
      <c r="L7" s="22" t="s">
        <v>119</v>
      </c>
      <c r="M7" s="11">
        <f>MAX(D2:D35)</f>
        <v>1000</v>
      </c>
    </row>
    <row r="8" spans="1:32" ht="15.6" x14ac:dyDescent="0.3">
      <c r="A8" s="12" t="s">
        <v>45</v>
      </c>
      <c r="B8" s="12" t="s">
        <v>46</v>
      </c>
      <c r="C8" s="12" t="s">
        <v>47</v>
      </c>
      <c r="D8" s="12">
        <v>30</v>
      </c>
      <c r="E8" s="12">
        <v>5</v>
      </c>
      <c r="F8" s="12" t="s">
        <v>30</v>
      </c>
      <c r="G8" t="str">
        <f t="shared" si="2"/>
        <v>Standard price</v>
      </c>
      <c r="H8" t="str">
        <f t="shared" si="0"/>
        <v>19</v>
      </c>
      <c r="I8" t="str">
        <f t="shared" si="3"/>
        <v>UK</v>
      </c>
      <c r="J8" t="str">
        <f t="shared" si="1"/>
        <v>JUL</v>
      </c>
      <c r="L8" s="21" t="s">
        <v>120</v>
      </c>
      <c r="M8" s="11">
        <f>SUMIF(F2:F35,"electronics",(D2:D35))</f>
        <v>8050</v>
      </c>
    </row>
    <row r="9" spans="1:32" ht="15.6" x14ac:dyDescent="0.3">
      <c r="A9" s="14" t="s">
        <v>48</v>
      </c>
      <c r="B9" s="14" t="s">
        <v>49</v>
      </c>
      <c r="C9" s="14" t="s">
        <v>50</v>
      </c>
      <c r="D9" s="12">
        <v>90</v>
      </c>
      <c r="E9" s="12">
        <v>35</v>
      </c>
      <c r="F9" s="12" t="s">
        <v>34</v>
      </c>
      <c r="G9" t="str">
        <f t="shared" si="2"/>
        <v>Standard price</v>
      </c>
      <c r="H9" t="str">
        <f t="shared" si="0"/>
        <v>23</v>
      </c>
      <c r="I9" t="str">
        <f t="shared" si="3"/>
        <v>UK</v>
      </c>
      <c r="J9" t="str">
        <f t="shared" si="1"/>
        <v>AUG</v>
      </c>
      <c r="L9" s="21" t="s">
        <v>121</v>
      </c>
      <c r="M9">
        <f>COUNTIF(D2:D35, "&lt;100")</f>
        <v>11</v>
      </c>
    </row>
    <row r="10" spans="1:32" ht="15.6" x14ac:dyDescent="0.3">
      <c r="A10" s="12" t="s">
        <v>51</v>
      </c>
      <c r="B10" s="12" t="s">
        <v>52</v>
      </c>
      <c r="C10" s="12" t="s">
        <v>53</v>
      </c>
      <c r="D10" s="12">
        <v>500</v>
      </c>
      <c r="E10" s="12">
        <v>50</v>
      </c>
      <c r="F10" s="12" t="s">
        <v>26</v>
      </c>
      <c r="G10" t="str">
        <f t="shared" si="2"/>
        <v>Standard price</v>
      </c>
      <c r="H10" t="str">
        <f t="shared" si="0"/>
        <v>05</v>
      </c>
      <c r="I10" t="str">
        <f t="shared" si="3"/>
        <v>UK</v>
      </c>
      <c r="J10" t="str">
        <f t="shared" si="1"/>
        <v>SEP</v>
      </c>
      <c r="L10" s="20" t="s">
        <v>122</v>
      </c>
      <c r="M10" s="19">
        <v>34</v>
      </c>
    </row>
    <row r="11" spans="1:32" x14ac:dyDescent="0.25">
      <c r="A11" s="14" t="s">
        <v>54</v>
      </c>
      <c r="B11" s="14" t="s">
        <v>55</v>
      </c>
      <c r="C11" s="14" t="s">
        <v>56</v>
      </c>
      <c r="D11" s="12">
        <v>130</v>
      </c>
      <c r="E11" s="12">
        <v>10</v>
      </c>
      <c r="F11" s="12" t="s">
        <v>41</v>
      </c>
      <c r="G11" t="str">
        <f t="shared" si="2"/>
        <v>Standard price</v>
      </c>
      <c r="H11" t="str">
        <f t="shared" si="0"/>
        <v>14</v>
      </c>
      <c r="I11" t="str">
        <f t="shared" si="3"/>
        <v>UK</v>
      </c>
      <c r="J11" t="str">
        <f t="shared" si="1"/>
        <v>OCT</v>
      </c>
    </row>
    <row r="12" spans="1:32" x14ac:dyDescent="0.25">
      <c r="A12" s="12" t="s">
        <v>57</v>
      </c>
      <c r="B12" s="13" t="s">
        <v>24</v>
      </c>
      <c r="C12" s="12" t="s">
        <v>58</v>
      </c>
      <c r="D12" s="12">
        <v>950</v>
      </c>
      <c r="E12" s="12">
        <v>25</v>
      </c>
      <c r="F12" s="12" t="s">
        <v>26</v>
      </c>
      <c r="G12" t="str">
        <f t="shared" si="2"/>
        <v>High price</v>
      </c>
      <c r="H12" t="str">
        <f t="shared" si="0"/>
        <v>17</v>
      </c>
      <c r="I12" t="str">
        <f t="shared" si="3"/>
        <v>IN</v>
      </c>
      <c r="J12" t="str">
        <f t="shared" si="1"/>
        <v>JUN</v>
      </c>
    </row>
    <row r="13" spans="1:32" x14ac:dyDescent="0.25">
      <c r="A13" s="14" t="s">
        <v>59</v>
      </c>
      <c r="B13" s="14" t="s">
        <v>28</v>
      </c>
      <c r="C13" s="14" t="s">
        <v>47</v>
      </c>
      <c r="D13" s="12">
        <v>90</v>
      </c>
      <c r="E13" s="12">
        <v>40</v>
      </c>
      <c r="F13" s="12" t="s">
        <v>30</v>
      </c>
      <c r="G13" t="str">
        <f t="shared" si="2"/>
        <v>Standard price</v>
      </c>
      <c r="H13" t="str">
        <f t="shared" si="0"/>
        <v>25</v>
      </c>
      <c r="I13" t="str">
        <f t="shared" si="3"/>
        <v>AU</v>
      </c>
      <c r="J13" t="str">
        <f t="shared" si="1"/>
        <v>NOV</v>
      </c>
    </row>
    <row r="14" spans="1:32" x14ac:dyDescent="0.25">
      <c r="A14" s="18" t="s">
        <v>60</v>
      </c>
      <c r="B14" s="18" t="s">
        <v>32</v>
      </c>
      <c r="C14" s="18" t="s">
        <v>61</v>
      </c>
      <c r="D14" s="18">
        <v>120</v>
      </c>
      <c r="E14" s="18">
        <v>35</v>
      </c>
      <c r="F14" s="18" t="s">
        <v>34</v>
      </c>
      <c r="G14" s="17" t="str">
        <f t="shared" si="2"/>
        <v>Standard price</v>
      </c>
      <c r="H14" s="17" t="str">
        <f t="shared" si="0"/>
        <v>08</v>
      </c>
      <c r="I14" s="17" t="str">
        <f t="shared" si="3"/>
        <v>DE</v>
      </c>
      <c r="J14" s="17" t="str">
        <f t="shared" si="1"/>
        <v>DEC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</row>
    <row r="15" spans="1:32" x14ac:dyDescent="0.25">
      <c r="A15" s="14" t="s">
        <v>62</v>
      </c>
      <c r="B15" s="14" t="s">
        <v>63</v>
      </c>
      <c r="C15" s="14" t="s">
        <v>64</v>
      </c>
      <c r="D15" s="12">
        <v>150</v>
      </c>
      <c r="E15" s="12">
        <v>15</v>
      </c>
      <c r="F15" s="12" t="s">
        <v>26</v>
      </c>
      <c r="G15" t="str">
        <f t="shared" si="2"/>
        <v>Standard price</v>
      </c>
      <c r="H15" t="str">
        <f t="shared" si="0"/>
        <v>18</v>
      </c>
      <c r="I15" t="str">
        <f t="shared" si="3"/>
        <v>CA</v>
      </c>
      <c r="J15" t="str">
        <f t="shared" si="1"/>
        <v>FEB</v>
      </c>
    </row>
    <row r="16" spans="1:32" x14ac:dyDescent="0.25">
      <c r="A16" s="12" t="s">
        <v>65</v>
      </c>
      <c r="B16" s="12" t="s">
        <v>43</v>
      </c>
      <c r="C16" s="12" t="s">
        <v>66</v>
      </c>
      <c r="D16" s="12">
        <v>250</v>
      </c>
      <c r="E16" s="12">
        <v>20</v>
      </c>
      <c r="F16" s="12" t="s">
        <v>26</v>
      </c>
      <c r="G16" t="str">
        <f t="shared" si="2"/>
        <v>Standard price</v>
      </c>
      <c r="H16" t="str">
        <f t="shared" si="0"/>
        <v>16</v>
      </c>
      <c r="I16" t="str">
        <f t="shared" si="3"/>
        <v>ES</v>
      </c>
      <c r="J16" t="str">
        <f t="shared" si="1"/>
        <v>APR</v>
      </c>
    </row>
    <row r="17" spans="1:11" x14ac:dyDescent="0.25">
      <c r="A17" s="14" t="s">
        <v>67</v>
      </c>
      <c r="B17" s="14" t="s">
        <v>68</v>
      </c>
      <c r="C17" s="14" t="s">
        <v>69</v>
      </c>
      <c r="D17" s="12">
        <v>50</v>
      </c>
      <c r="E17" s="12">
        <v>35</v>
      </c>
      <c r="F17" s="12" t="s">
        <v>70</v>
      </c>
      <c r="G17" t="str">
        <f t="shared" si="2"/>
        <v>Standard price</v>
      </c>
      <c r="H17" t="str">
        <f t="shared" si="0"/>
        <v>21</v>
      </c>
      <c r="I17" t="str">
        <f t="shared" si="3"/>
        <v>CA</v>
      </c>
      <c r="J17" t="str">
        <f t="shared" si="1"/>
        <v>AUG</v>
      </c>
    </row>
    <row r="18" spans="1:11" x14ac:dyDescent="0.25">
      <c r="A18" s="12" t="s">
        <v>71</v>
      </c>
      <c r="B18" s="12" t="s">
        <v>63</v>
      </c>
      <c r="C18" s="12" t="s">
        <v>72</v>
      </c>
      <c r="D18" s="12">
        <v>160</v>
      </c>
      <c r="E18" s="12">
        <v>15</v>
      </c>
      <c r="F18" s="12" t="s">
        <v>26</v>
      </c>
      <c r="G18" t="str">
        <f t="shared" si="2"/>
        <v>Standard price</v>
      </c>
      <c r="H18" t="str">
        <f t="shared" si="0"/>
        <v>20</v>
      </c>
      <c r="I18" t="str">
        <f t="shared" si="3"/>
        <v>CN</v>
      </c>
      <c r="J18" t="str">
        <f t="shared" si="1"/>
        <v>AUG</v>
      </c>
    </row>
    <row r="19" spans="1:11" x14ac:dyDescent="0.25">
      <c r="A19" s="14" t="s">
        <v>73</v>
      </c>
      <c r="B19" s="15" t="s">
        <v>24</v>
      </c>
      <c r="C19" s="14" t="s">
        <v>74</v>
      </c>
      <c r="D19" s="12">
        <v>980</v>
      </c>
      <c r="E19" s="12">
        <v>10</v>
      </c>
      <c r="F19" s="12" t="s">
        <v>26</v>
      </c>
      <c r="G19" t="str">
        <f t="shared" si="2"/>
        <v>High price</v>
      </c>
      <c r="H19" t="str">
        <f t="shared" si="0"/>
        <v>27</v>
      </c>
      <c r="I19" t="str">
        <f t="shared" si="3"/>
        <v>IT</v>
      </c>
      <c r="J19" t="str">
        <f t="shared" si="1"/>
        <v>JAN</v>
      </c>
    </row>
    <row r="20" spans="1:11" x14ac:dyDescent="0.25">
      <c r="A20" s="12" t="s">
        <v>75</v>
      </c>
      <c r="B20" s="12" t="s">
        <v>76</v>
      </c>
      <c r="C20" s="12" t="s">
        <v>77</v>
      </c>
      <c r="D20" s="12">
        <v>150</v>
      </c>
      <c r="E20" s="12">
        <v>15</v>
      </c>
      <c r="F20" s="12" t="s">
        <v>30</v>
      </c>
      <c r="G20" t="str">
        <f t="shared" si="2"/>
        <v>Standard price</v>
      </c>
      <c r="H20" t="str">
        <f t="shared" si="0"/>
        <v>01</v>
      </c>
      <c r="I20" t="str">
        <f t="shared" si="3"/>
        <v>UK</v>
      </c>
      <c r="J20" t="str">
        <f t="shared" si="1"/>
        <v>MAR</v>
      </c>
    </row>
    <row r="21" spans="1:11" x14ac:dyDescent="0.25">
      <c r="A21" s="14" t="s">
        <v>78</v>
      </c>
      <c r="B21" s="14" t="s">
        <v>79</v>
      </c>
      <c r="C21" s="14" t="s">
        <v>80</v>
      </c>
      <c r="D21" s="12">
        <v>200</v>
      </c>
      <c r="E21" s="12">
        <v>10</v>
      </c>
      <c r="F21" s="12" t="s">
        <v>41</v>
      </c>
      <c r="G21" t="str">
        <f t="shared" si="2"/>
        <v>Standard price</v>
      </c>
      <c r="H21" t="str">
        <f t="shared" si="0"/>
        <v>14</v>
      </c>
      <c r="I21" t="str">
        <f t="shared" si="3"/>
        <v>US</v>
      </c>
      <c r="J21" t="str">
        <f t="shared" si="1"/>
        <v>AUG</v>
      </c>
      <c r="K21">
        <f>COUNT(B2:B35)</f>
        <v>0</v>
      </c>
    </row>
    <row r="22" spans="1:11" x14ac:dyDescent="0.25">
      <c r="A22" s="12" t="s">
        <v>81</v>
      </c>
      <c r="B22" s="12" t="s">
        <v>82</v>
      </c>
      <c r="C22" s="12" t="s">
        <v>83</v>
      </c>
      <c r="D22" s="12">
        <v>700</v>
      </c>
      <c r="E22" s="12">
        <v>50</v>
      </c>
      <c r="F22" s="12" t="s">
        <v>26</v>
      </c>
      <c r="G22" t="str">
        <f t="shared" si="2"/>
        <v>High price</v>
      </c>
      <c r="H22" t="str">
        <f t="shared" si="0"/>
        <v>14</v>
      </c>
      <c r="I22" t="str">
        <f t="shared" si="3"/>
        <v>RU</v>
      </c>
      <c r="J22" t="str">
        <f t="shared" si="1"/>
        <v>MAY</v>
      </c>
    </row>
    <row r="23" spans="1:11" x14ac:dyDescent="0.25">
      <c r="A23" s="14" t="s">
        <v>84</v>
      </c>
      <c r="B23" s="14" t="s">
        <v>85</v>
      </c>
      <c r="C23" s="14" t="s">
        <v>86</v>
      </c>
      <c r="D23" s="12">
        <v>80</v>
      </c>
      <c r="E23" s="12">
        <v>20</v>
      </c>
      <c r="F23" s="12" t="s">
        <v>34</v>
      </c>
      <c r="G23" t="str">
        <f t="shared" si="2"/>
        <v>Standard price</v>
      </c>
      <c r="H23" t="str">
        <f t="shared" si="0"/>
        <v>09</v>
      </c>
      <c r="I23" t="str">
        <f t="shared" si="3"/>
        <v>CA</v>
      </c>
      <c r="J23" t="str">
        <f t="shared" si="1"/>
        <v>JAN</v>
      </c>
    </row>
    <row r="24" spans="1:11" x14ac:dyDescent="0.25">
      <c r="A24" s="12" t="s">
        <v>87</v>
      </c>
      <c r="B24" s="12" t="s">
        <v>88</v>
      </c>
      <c r="C24" s="12" t="s">
        <v>89</v>
      </c>
      <c r="D24" s="12">
        <v>150</v>
      </c>
      <c r="E24" s="12">
        <v>30</v>
      </c>
      <c r="F24" s="12" t="s">
        <v>26</v>
      </c>
      <c r="G24" t="str">
        <f t="shared" si="2"/>
        <v>Standard price</v>
      </c>
      <c r="H24" t="str">
        <f t="shared" si="0"/>
        <v>19</v>
      </c>
      <c r="I24" t="str">
        <f t="shared" si="3"/>
        <v>BR</v>
      </c>
      <c r="J24" t="str">
        <f t="shared" si="1"/>
        <v>JUL</v>
      </c>
    </row>
    <row r="25" spans="1:11" x14ac:dyDescent="0.25">
      <c r="A25" s="14" t="s">
        <v>67</v>
      </c>
      <c r="B25" s="14" t="s">
        <v>68</v>
      </c>
      <c r="C25" s="14" t="s">
        <v>69</v>
      </c>
      <c r="D25" s="12">
        <v>50</v>
      </c>
      <c r="E25" s="12">
        <v>35</v>
      </c>
      <c r="F25" s="12" t="s">
        <v>70</v>
      </c>
      <c r="G25" t="str">
        <f t="shared" si="2"/>
        <v>Standard price</v>
      </c>
      <c r="H25" t="str">
        <f t="shared" si="0"/>
        <v>21</v>
      </c>
      <c r="I25" t="str">
        <f t="shared" si="3"/>
        <v>CA</v>
      </c>
      <c r="J25" t="str">
        <f t="shared" si="1"/>
        <v>AUG</v>
      </c>
    </row>
    <row r="26" spans="1:11" x14ac:dyDescent="0.25">
      <c r="A26" s="12" t="s">
        <v>90</v>
      </c>
      <c r="B26" s="12" t="s">
        <v>36</v>
      </c>
      <c r="C26" s="12" t="s">
        <v>91</v>
      </c>
      <c r="D26" s="12">
        <v>800</v>
      </c>
      <c r="E26" s="12">
        <v>45</v>
      </c>
      <c r="F26" s="12" t="s">
        <v>26</v>
      </c>
      <c r="G26" t="str">
        <f t="shared" si="2"/>
        <v>High price</v>
      </c>
      <c r="H26" t="str">
        <f t="shared" si="0"/>
        <v>29</v>
      </c>
      <c r="I26" t="str">
        <f t="shared" si="3"/>
        <v>CA</v>
      </c>
      <c r="J26" t="str">
        <f t="shared" si="1"/>
        <v>SEP</v>
      </c>
    </row>
    <row r="27" spans="1:11" x14ac:dyDescent="0.25">
      <c r="A27" s="14" t="s">
        <v>92</v>
      </c>
      <c r="B27" s="14" t="s">
        <v>76</v>
      </c>
      <c r="C27" s="14" t="s">
        <v>93</v>
      </c>
      <c r="D27" s="12">
        <v>130</v>
      </c>
      <c r="E27" s="12">
        <v>25</v>
      </c>
      <c r="F27" s="12" t="s">
        <v>30</v>
      </c>
      <c r="G27" t="str">
        <f t="shared" si="2"/>
        <v>Standard price</v>
      </c>
      <c r="H27" t="str">
        <f t="shared" si="0"/>
        <v>03</v>
      </c>
      <c r="I27" t="str">
        <f t="shared" si="3"/>
        <v>CA</v>
      </c>
      <c r="J27" t="str">
        <f t="shared" si="1"/>
        <v>JUN</v>
      </c>
    </row>
    <row r="28" spans="1:11" x14ac:dyDescent="0.25">
      <c r="A28" s="12" t="s">
        <v>94</v>
      </c>
      <c r="B28" s="12" t="s">
        <v>49</v>
      </c>
      <c r="C28" s="12" t="s">
        <v>95</v>
      </c>
      <c r="D28" s="12">
        <v>400</v>
      </c>
      <c r="E28" s="12">
        <v>40</v>
      </c>
      <c r="F28" s="12" t="s">
        <v>34</v>
      </c>
      <c r="G28" t="str">
        <f t="shared" si="2"/>
        <v>Standard price</v>
      </c>
      <c r="H28" t="str">
        <f t="shared" si="0"/>
        <v>11</v>
      </c>
      <c r="I28" t="str">
        <f t="shared" si="3"/>
        <v>CA</v>
      </c>
      <c r="J28" t="str">
        <f t="shared" si="1"/>
        <v>JUL</v>
      </c>
    </row>
    <row r="29" spans="1:11" x14ac:dyDescent="0.25">
      <c r="A29" s="14" t="s">
        <v>65</v>
      </c>
      <c r="B29" s="14" t="s">
        <v>43</v>
      </c>
      <c r="C29" s="14" t="s">
        <v>66</v>
      </c>
      <c r="D29" s="12">
        <v>230</v>
      </c>
      <c r="E29" s="12">
        <v>20</v>
      </c>
      <c r="F29" s="12" t="s">
        <v>26</v>
      </c>
      <c r="G29" t="str">
        <f t="shared" si="2"/>
        <v>Standard price</v>
      </c>
      <c r="H29" t="str">
        <f t="shared" si="0"/>
        <v>16</v>
      </c>
      <c r="I29" t="str">
        <f t="shared" si="3"/>
        <v>ES</v>
      </c>
      <c r="J29" t="str">
        <f t="shared" si="1"/>
        <v>APR</v>
      </c>
    </row>
    <row r="30" spans="1:11" x14ac:dyDescent="0.25">
      <c r="A30" s="12" t="s">
        <v>96</v>
      </c>
      <c r="B30" s="12" t="s">
        <v>97</v>
      </c>
      <c r="C30" s="12" t="s">
        <v>98</v>
      </c>
      <c r="D30" s="12">
        <v>60</v>
      </c>
      <c r="E30" s="12">
        <v>30</v>
      </c>
      <c r="F30" s="12" t="s">
        <v>30</v>
      </c>
      <c r="G30" t="str">
        <f t="shared" si="2"/>
        <v>Standard price</v>
      </c>
      <c r="H30" t="str">
        <f t="shared" si="0"/>
        <v>07</v>
      </c>
      <c r="I30" t="str">
        <f t="shared" si="3"/>
        <v>CA</v>
      </c>
      <c r="J30" t="str">
        <f t="shared" si="1"/>
        <v>MAR</v>
      </c>
    </row>
    <row r="31" spans="1:11" x14ac:dyDescent="0.25">
      <c r="A31" s="14" t="s">
        <v>99</v>
      </c>
      <c r="B31" s="14" t="s">
        <v>100</v>
      </c>
      <c r="C31" s="14" t="s">
        <v>101</v>
      </c>
      <c r="D31" s="12">
        <v>40</v>
      </c>
      <c r="E31" s="12">
        <v>10</v>
      </c>
      <c r="F31" s="12" t="s">
        <v>34</v>
      </c>
      <c r="G31" t="str">
        <f t="shared" si="2"/>
        <v>Standard price</v>
      </c>
      <c r="H31" t="str">
        <f t="shared" si="0"/>
        <v>13</v>
      </c>
      <c r="I31" t="str">
        <f t="shared" si="3"/>
        <v>CA</v>
      </c>
      <c r="J31" t="str">
        <f t="shared" si="1"/>
        <v>APR</v>
      </c>
    </row>
    <row r="32" spans="1:11" x14ac:dyDescent="0.25">
      <c r="A32" s="12" t="s">
        <v>102</v>
      </c>
      <c r="B32" s="12" t="s">
        <v>88</v>
      </c>
      <c r="C32" s="12" t="s">
        <v>103</v>
      </c>
      <c r="D32" s="12">
        <v>130</v>
      </c>
      <c r="E32" s="12">
        <v>5</v>
      </c>
      <c r="F32" s="12" t="s">
        <v>26</v>
      </c>
      <c r="G32" t="str">
        <f t="shared" si="2"/>
        <v>Standard price</v>
      </c>
      <c r="H32" t="str">
        <f t="shared" si="0"/>
        <v>24</v>
      </c>
      <c r="I32" t="str">
        <f t="shared" si="3"/>
        <v>CA</v>
      </c>
      <c r="J32" t="str">
        <f t="shared" si="1"/>
        <v>MAY</v>
      </c>
    </row>
    <row r="33" spans="1:10" x14ac:dyDescent="0.25">
      <c r="A33" s="14" t="s">
        <v>104</v>
      </c>
      <c r="B33" s="14" t="s">
        <v>105</v>
      </c>
      <c r="C33" s="14" t="s">
        <v>106</v>
      </c>
      <c r="D33" s="12">
        <v>50</v>
      </c>
      <c r="E33" s="12">
        <v>50</v>
      </c>
      <c r="F33" s="12" t="s">
        <v>30</v>
      </c>
      <c r="G33" t="str">
        <f t="shared" si="2"/>
        <v>Standard price</v>
      </c>
      <c r="H33" t="str">
        <f t="shared" si="0"/>
        <v>02</v>
      </c>
      <c r="I33" t="str">
        <f t="shared" si="3"/>
        <v>CA</v>
      </c>
      <c r="J33" t="str">
        <f t="shared" si="1"/>
        <v>DEC</v>
      </c>
    </row>
    <row r="34" spans="1:10" x14ac:dyDescent="0.25">
      <c r="A34" s="12" t="s">
        <v>57</v>
      </c>
      <c r="B34" s="13" t="s">
        <v>24</v>
      </c>
      <c r="C34" s="12" t="s">
        <v>58</v>
      </c>
      <c r="D34" s="12">
        <v>950</v>
      </c>
      <c r="E34" s="12">
        <v>25</v>
      </c>
      <c r="F34" s="12" t="s">
        <v>26</v>
      </c>
      <c r="G34" t="str">
        <f t="shared" si="2"/>
        <v>High price</v>
      </c>
      <c r="H34" t="str">
        <f t="shared" si="0"/>
        <v>17</v>
      </c>
      <c r="I34" t="str">
        <f t="shared" si="3"/>
        <v>IN</v>
      </c>
      <c r="J34" t="str">
        <f t="shared" si="1"/>
        <v>JUN</v>
      </c>
    </row>
    <row r="35" spans="1:10" x14ac:dyDescent="0.25">
      <c r="A35" s="14" t="s">
        <v>107</v>
      </c>
      <c r="B35" s="14" t="s">
        <v>108</v>
      </c>
      <c r="C35" s="14" t="s">
        <v>109</v>
      </c>
      <c r="D35" s="12">
        <v>100</v>
      </c>
      <c r="E35" s="14">
        <v>20</v>
      </c>
      <c r="F35" s="14" t="s">
        <v>70</v>
      </c>
      <c r="G35" t="str">
        <f t="shared" si="2"/>
        <v>Standard price</v>
      </c>
      <c r="H35" t="str">
        <f t="shared" si="0"/>
        <v>09</v>
      </c>
      <c r="I35" t="str">
        <f t="shared" si="3"/>
        <v>FR</v>
      </c>
      <c r="J35" t="str">
        <f t="shared" si="1"/>
        <v>JUL</v>
      </c>
    </row>
  </sheetData>
  <conditionalFormatting sqref="M4:M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assignment1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 kandan</cp:lastModifiedBy>
  <dcterms:modified xsi:type="dcterms:W3CDTF">2026-02-14T12:27:40Z</dcterms:modified>
</cp:coreProperties>
</file>